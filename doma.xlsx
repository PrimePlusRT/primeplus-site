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Альфия\Desktop\project\"/>
    </mc:Choice>
  </mc:AlternateContent>
  <xr:revisionPtr revIDLastSave="0" documentId="8_{0DDDCAE6-B60F-40EE-BB37-A0874639C0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Исправления координат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3" i="1" l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<sst xmlns="http://schemas.openxmlformats.org/spreadsheetml/2006/main" count="153" uniqueCount="52">
  <si>
    <t>№</t>
  </si>
  <si>
    <t>Наименование улице</t>
  </si>
  <si>
    <t>№ дома</t>
  </si>
  <si>
    <t>кол-во подъездов в доме</t>
  </si>
  <si>
    <t>этажность</t>
  </si>
  <si>
    <t>Квартирность</t>
  </si>
  <si>
    <t>lat</t>
  </si>
  <si>
    <t>lon</t>
  </si>
  <si>
    <t>Адрес</t>
  </si>
  <si>
    <t>Шинников</t>
  </si>
  <si>
    <t>3а</t>
  </si>
  <si>
    <t>3б</t>
  </si>
  <si>
    <t>3в</t>
  </si>
  <si>
    <t xml:space="preserve">Шинников </t>
  </si>
  <si>
    <t>Менделеева</t>
  </si>
  <si>
    <t>32 б</t>
  </si>
  <si>
    <t xml:space="preserve">Мурадьяна </t>
  </si>
  <si>
    <t>Мурадьяна</t>
  </si>
  <si>
    <t>4а</t>
  </si>
  <si>
    <t>8а</t>
  </si>
  <si>
    <t>Бызова</t>
  </si>
  <si>
    <t>Кайманова</t>
  </si>
  <si>
    <t xml:space="preserve">Гагарина </t>
  </si>
  <si>
    <t>Спортивная</t>
  </si>
  <si>
    <t xml:space="preserve">Чабьинская </t>
  </si>
  <si>
    <t>5а</t>
  </si>
  <si>
    <t xml:space="preserve">Химиков </t>
  </si>
  <si>
    <t xml:space="preserve">Мира </t>
  </si>
  <si>
    <t>Вахитова</t>
  </si>
  <si>
    <t>Баки Урманче</t>
  </si>
  <si>
    <t>Мира</t>
  </si>
  <si>
    <t>24а</t>
  </si>
  <si>
    <t>38а</t>
  </si>
  <si>
    <t>Чулман</t>
  </si>
  <si>
    <t>Сююмбике</t>
  </si>
  <si>
    <t>Строка Excel</t>
  </si>
  <si>
    <t>Комментарий</t>
  </si>
  <si>
    <t>Кайманова 11</t>
  </si>
  <si>
    <t>Исправлено: дом в г. Нижнекамск</t>
  </si>
  <si>
    <t>Гагарина 2</t>
  </si>
  <si>
    <t>Гагарина 4</t>
  </si>
  <si>
    <t>Гагарина 8</t>
  </si>
  <si>
    <t>Спортивная 21</t>
  </si>
  <si>
    <t>Гагарина 18</t>
  </si>
  <si>
    <t>Гагарина 20</t>
  </si>
  <si>
    <t>Гагарина 22</t>
  </si>
  <si>
    <t>Мира 3</t>
  </si>
  <si>
    <t>Мира 5</t>
  </si>
  <si>
    <t>Мира 7</t>
  </si>
  <si>
    <t>Мира 17</t>
  </si>
  <si>
    <t>Мира 6</t>
  </si>
  <si>
    <t>Мира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</si>
</sst>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rlito"/>
    </font>
    <font>
      <sz val="11"/>
      <color theme="1"/>
      <name val="Calibri"/>
    </font>
    <font>
      <sz val="11"/>
      <color rgb="FF000000"/>
      <name val="Calibri"/>
    </font>
    <font>
      <b/>
      <sz val="11"/>
      <color theme="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BDD6EE"/>
      </patternFill>
    </fill>
    <fill>
      <patternFill patternType="solid">
        <fgColor rgb="FFFFFF00"/>
      </patternFill>
    </fill>
    <fill>
      <patternFill patternType="solid">
        <fgColor rgb="FFD9E2F3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5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2.625" defaultRowHeight="14.25"/>
  <cols>
    <col min="1" max="1" width="3.5" style="12" bestFit="1" customWidth="1"/>
    <col min="2" max="2" width="18.375" style="16" bestFit="1" customWidth="1"/>
    <col min="3" max="3" width="7.25" style="12" bestFit="1" customWidth="1"/>
    <col min="4" max="4" width="21.5" style="12" bestFit="1" customWidth="1"/>
    <col min="5" max="5" width="9" style="12" bestFit="1" customWidth="1"/>
    <col min="6" max="6" width="11.75" style="12" bestFit="1" customWidth="1"/>
    <col min="7" max="8" width="9.625" bestFit="1" customWidth="1"/>
    <col min="9" max="9" width="32.375" style="12" bestFit="1" customWidth="1"/>
    <col min="10" max="10" width="25.625" style="12" customWidth="1"/>
    <col min="11" max="26" width="8.625" style="12" customWidth="1"/>
    <col min="27" max="16384" width="12.625" style="12"/>
  </cols>
  <sheetData>
    <row r="1" spans="1:26" ht="4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>
      <c r="A2" s="1">
        <v>1</v>
      </c>
      <c r="B2" s="13" t="s">
        <v>9</v>
      </c>
      <c r="C2" s="1">
        <v>1</v>
      </c>
      <c r="D2" s="2">
        <v>12</v>
      </c>
      <c r="E2" s="1">
        <v>9</v>
      </c>
      <c r="F2" s="5">
        <v>391</v>
      </c>
      <c r="G2" s="3">
        <v>55.642722800000001</v>
      </c>
      <c r="H2" s="3">
        <v>51.810848300000004</v>
      </c>
      <c r="I2" s="4" t="str">
        <f t="shared" ref="I2:I103" si="0">"Россия, Нижнекамск, "&amp;B2&amp;" "&amp;C2</f>
        <v>Россия, Нижнекамск, Шинников 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>
      <c r="A3" s="1">
        <v>2</v>
      </c>
      <c r="B3" s="13" t="s">
        <v>9</v>
      </c>
      <c r="C3" s="1" t="s">
        <v>10</v>
      </c>
      <c r="D3" s="2">
        <v>2</v>
      </c>
      <c r="E3" s="1">
        <v>9</v>
      </c>
      <c r="F3" s="5">
        <v>107</v>
      </c>
      <c r="G3" s="3">
        <v>55.644121699999999</v>
      </c>
      <c r="H3" s="3">
        <v>51.810739900000002</v>
      </c>
      <c r="I3" s="4" t="str">
        <f t="shared" si="0"/>
        <v>Россия, Нижнекамск, Шинников 3а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>
      <c r="A4" s="1">
        <v>3</v>
      </c>
      <c r="B4" s="13" t="s">
        <v>9</v>
      </c>
      <c r="C4" s="1" t="s">
        <v>11</v>
      </c>
      <c r="D4" s="2">
        <v>2</v>
      </c>
      <c r="E4" s="1">
        <v>9</v>
      </c>
      <c r="F4" s="5">
        <v>106</v>
      </c>
      <c r="G4" s="3">
        <v>55.644572400000001</v>
      </c>
      <c r="H4" s="3">
        <v>51.811421199999998</v>
      </c>
      <c r="I4" s="4" t="str">
        <f t="shared" si="0"/>
        <v>Россия, Нижнекамск, Шинников 3б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>
      <c r="A5" s="1">
        <v>4</v>
      </c>
      <c r="B5" s="13" t="s">
        <v>9</v>
      </c>
      <c r="C5" s="1" t="s">
        <v>12</v>
      </c>
      <c r="D5" s="2">
        <v>6</v>
      </c>
      <c r="E5" s="1">
        <v>9</v>
      </c>
      <c r="F5" s="5">
        <v>197</v>
      </c>
      <c r="G5" s="3">
        <v>55.644748100000001</v>
      </c>
      <c r="H5" s="3">
        <v>51.810436899999999</v>
      </c>
      <c r="I5" s="4" t="str">
        <f t="shared" si="0"/>
        <v>Россия, Нижнекамск, Шинников 3в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>
      <c r="A6" s="1">
        <v>5</v>
      </c>
      <c r="B6" s="13" t="s">
        <v>9</v>
      </c>
      <c r="C6" s="1">
        <v>5</v>
      </c>
      <c r="D6" s="2">
        <v>3</v>
      </c>
      <c r="E6" s="1">
        <v>9</v>
      </c>
      <c r="F6" s="5">
        <v>104</v>
      </c>
      <c r="G6" s="3">
        <v>55.645814700000003</v>
      </c>
      <c r="H6" s="3">
        <v>51.811278299999998</v>
      </c>
      <c r="I6" s="4" t="str">
        <f t="shared" si="0"/>
        <v>Россия, Нижнекамск, Шинников 5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>
      <c r="A7" s="1">
        <v>6</v>
      </c>
      <c r="B7" s="13" t="s">
        <v>9</v>
      </c>
      <c r="C7" s="1">
        <v>7</v>
      </c>
      <c r="D7" s="2">
        <v>3</v>
      </c>
      <c r="E7" s="1">
        <v>9</v>
      </c>
      <c r="F7" s="5">
        <v>108</v>
      </c>
      <c r="G7" s="3">
        <v>55.646053899999998</v>
      </c>
      <c r="H7" s="3">
        <v>51.8123231</v>
      </c>
      <c r="I7" s="4" t="str">
        <f t="shared" si="0"/>
        <v>Россия, Нижнекамск, Шинников 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>
      <c r="A8" s="1">
        <v>7</v>
      </c>
      <c r="B8" s="13" t="s">
        <v>9</v>
      </c>
      <c r="C8" s="1">
        <v>9</v>
      </c>
      <c r="D8" s="2">
        <v>7</v>
      </c>
      <c r="E8" s="1">
        <v>5</v>
      </c>
      <c r="F8" s="5">
        <v>92</v>
      </c>
      <c r="G8" s="3">
        <v>55.646698299999997</v>
      </c>
      <c r="H8" s="3">
        <v>51.812511399999998</v>
      </c>
      <c r="I8" s="4" t="str">
        <f t="shared" si="0"/>
        <v>Россия, Нижнекамск, Шинников 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>
      <c r="A9" s="1">
        <v>8</v>
      </c>
      <c r="B9" s="13" t="s">
        <v>9</v>
      </c>
      <c r="C9" s="1">
        <v>15</v>
      </c>
      <c r="D9" s="2">
        <v>3</v>
      </c>
      <c r="E9" s="1">
        <v>9</v>
      </c>
      <c r="F9" s="5">
        <v>108</v>
      </c>
      <c r="G9" s="3">
        <v>55.647617199999999</v>
      </c>
      <c r="H9" s="3">
        <v>51.816092500000003</v>
      </c>
      <c r="I9" s="4" t="str">
        <f t="shared" si="0"/>
        <v>Россия, Нижнекамск, Шинников 15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>
      <c r="A10" s="1">
        <v>9</v>
      </c>
      <c r="B10" s="13" t="s">
        <v>9</v>
      </c>
      <c r="C10" s="1">
        <v>17</v>
      </c>
      <c r="D10" s="2">
        <v>3</v>
      </c>
      <c r="E10" s="1">
        <v>9</v>
      </c>
      <c r="F10" s="5">
        <v>108</v>
      </c>
      <c r="G10" s="3">
        <v>55.648116299999998</v>
      </c>
      <c r="H10" s="3">
        <v>51.814664</v>
      </c>
      <c r="I10" s="4" t="str">
        <f t="shared" si="0"/>
        <v>Россия, Нижнекамск, Шинников 17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>
      <c r="A11" s="1">
        <v>10</v>
      </c>
      <c r="B11" s="13" t="s">
        <v>9</v>
      </c>
      <c r="C11" s="1">
        <v>19</v>
      </c>
      <c r="D11" s="2">
        <v>3</v>
      </c>
      <c r="E11" s="1">
        <v>9</v>
      </c>
      <c r="F11" s="5">
        <v>108</v>
      </c>
      <c r="G11" s="3">
        <v>55.648374799999999</v>
      </c>
      <c r="H11" s="3">
        <v>51.815773800000002</v>
      </c>
      <c r="I11" s="4" t="str">
        <f t="shared" si="0"/>
        <v>Россия, Нижнекамск, Шинников 19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>
      <c r="A12" s="1">
        <v>11</v>
      </c>
      <c r="B12" s="13" t="s">
        <v>9</v>
      </c>
      <c r="C12" s="1">
        <v>47</v>
      </c>
      <c r="D12" s="2">
        <v>4</v>
      </c>
      <c r="E12" s="1">
        <v>9</v>
      </c>
      <c r="F12" s="5">
        <v>357</v>
      </c>
      <c r="G12" s="3">
        <v>55.655375300000003</v>
      </c>
      <c r="H12" s="3">
        <v>51.830014200000001</v>
      </c>
      <c r="I12" s="4" t="str">
        <f t="shared" si="0"/>
        <v>Россия, Нижнекамск, Шинников 47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>
      <c r="A13" s="1">
        <v>12</v>
      </c>
      <c r="B13" s="13" t="s">
        <v>13</v>
      </c>
      <c r="C13" s="1">
        <v>51</v>
      </c>
      <c r="D13" s="1">
        <v>12</v>
      </c>
      <c r="E13" s="1">
        <v>5</v>
      </c>
      <c r="F13" s="5">
        <v>178</v>
      </c>
      <c r="G13" s="3">
        <v>55.656714200000003</v>
      </c>
      <c r="H13" s="3">
        <v>51.830806500000001</v>
      </c>
      <c r="I13" s="4" t="str">
        <f t="shared" si="0"/>
        <v>Россия, Нижнекамск, Шинников  51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>
      <c r="A14" s="1">
        <v>13</v>
      </c>
      <c r="B14" s="13" t="s">
        <v>13</v>
      </c>
      <c r="C14" s="1">
        <v>53</v>
      </c>
      <c r="D14" s="1">
        <v>8</v>
      </c>
      <c r="E14" s="6">
        <v>10</v>
      </c>
      <c r="F14" s="5">
        <v>257</v>
      </c>
      <c r="G14" s="3">
        <v>55.6571462</v>
      </c>
      <c r="H14" s="3">
        <v>51.832755599999999</v>
      </c>
      <c r="I14" s="4" t="str">
        <f t="shared" si="0"/>
        <v>Россия, Нижнекамск, Шинников  53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>
      <c r="A15" s="1">
        <v>14</v>
      </c>
      <c r="B15" s="13" t="s">
        <v>13</v>
      </c>
      <c r="C15" s="1">
        <v>55</v>
      </c>
      <c r="D15" s="7">
        <v>4</v>
      </c>
      <c r="E15" s="7">
        <v>5</v>
      </c>
      <c r="F15" s="8">
        <v>50</v>
      </c>
      <c r="G15" s="3">
        <v>55.6574168</v>
      </c>
      <c r="H15" s="3">
        <v>51.831900300000001</v>
      </c>
      <c r="I15" s="4" t="str">
        <f t="shared" si="0"/>
        <v>Россия, Нижнекамск, Шинников  55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>
      <c r="A16" s="1">
        <v>15</v>
      </c>
      <c r="B16" s="13" t="s">
        <v>9</v>
      </c>
      <c r="C16" s="1">
        <v>61</v>
      </c>
      <c r="D16" s="7">
        <v>9</v>
      </c>
      <c r="E16" s="7">
        <v>9</v>
      </c>
      <c r="F16" s="8">
        <v>322</v>
      </c>
      <c r="G16" s="3">
        <v>55.658543399999999</v>
      </c>
      <c r="H16" s="3">
        <v>51.834908300000002</v>
      </c>
      <c r="I16" s="4" t="str">
        <f t="shared" si="0"/>
        <v>Россия, Нижнекамск, Шинников 61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>
      <c r="A17" s="1">
        <v>16</v>
      </c>
      <c r="B17" s="13" t="s">
        <v>9</v>
      </c>
      <c r="C17" s="1">
        <v>63</v>
      </c>
      <c r="D17" s="7">
        <v>5</v>
      </c>
      <c r="E17" s="7">
        <v>9</v>
      </c>
      <c r="F17" s="8">
        <v>179</v>
      </c>
      <c r="G17" s="3">
        <v>55.6588669</v>
      </c>
      <c r="H17" s="3">
        <v>51.8337626</v>
      </c>
      <c r="I17" s="4" t="str">
        <f t="shared" si="0"/>
        <v>Россия, Нижнекамск, Шинников 63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>
      <c r="A18" s="1">
        <v>17</v>
      </c>
      <c r="B18" s="13" t="s">
        <v>13</v>
      </c>
      <c r="C18" s="1">
        <v>67</v>
      </c>
      <c r="D18" s="1">
        <v>1</v>
      </c>
      <c r="E18" s="1">
        <v>9</v>
      </c>
      <c r="F18" s="5">
        <v>40</v>
      </c>
      <c r="G18" s="3">
        <v>55.659751</v>
      </c>
      <c r="H18" s="3">
        <v>51.834553700000001</v>
      </c>
      <c r="I18" s="4" t="str">
        <f t="shared" si="0"/>
        <v>Россия, Нижнекамск, Шинников  67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>
      <c r="A19" s="1">
        <v>18</v>
      </c>
      <c r="B19" s="13" t="s">
        <v>13</v>
      </c>
      <c r="C19" s="1">
        <v>69</v>
      </c>
      <c r="D19" s="1">
        <v>1</v>
      </c>
      <c r="E19" s="1">
        <v>9</v>
      </c>
      <c r="F19" s="5">
        <v>61</v>
      </c>
      <c r="G19" s="3">
        <v>55.660074600000002</v>
      </c>
      <c r="H19" s="3">
        <v>51.834789299999997</v>
      </c>
      <c r="I19" s="4" t="str">
        <f t="shared" si="0"/>
        <v>Россия, Нижнекамск, Шинников  69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>
      <c r="A20" s="1">
        <v>19</v>
      </c>
      <c r="B20" s="13" t="s">
        <v>13</v>
      </c>
      <c r="C20" s="1">
        <v>73</v>
      </c>
      <c r="D20" s="1">
        <v>5</v>
      </c>
      <c r="E20" s="1">
        <v>5</v>
      </c>
      <c r="F20" s="5">
        <v>65</v>
      </c>
      <c r="G20" s="3">
        <v>55.660696299999998</v>
      </c>
      <c r="H20" s="3">
        <v>51.834479000000002</v>
      </c>
      <c r="I20" s="4" t="str">
        <f t="shared" si="0"/>
        <v>Россия, Нижнекамск, Шинников  73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">
        <v>20</v>
      </c>
      <c r="B21" s="13" t="s">
        <v>9</v>
      </c>
      <c r="C21" s="1">
        <v>75</v>
      </c>
      <c r="D21" s="1">
        <v>8</v>
      </c>
      <c r="E21" s="1">
        <v>9</v>
      </c>
      <c r="F21" s="5">
        <v>286</v>
      </c>
      <c r="G21" s="3">
        <v>55.660086100000001</v>
      </c>
      <c r="H21" s="3">
        <v>51.836833900000002</v>
      </c>
      <c r="I21" s="4" t="str">
        <f t="shared" si="0"/>
        <v>Россия, Нижнекамск, Шинников 75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">
        <v>21</v>
      </c>
      <c r="B22" s="13" t="s">
        <v>13</v>
      </c>
      <c r="C22" s="1">
        <v>79</v>
      </c>
      <c r="D22" s="1">
        <v>1</v>
      </c>
      <c r="E22" s="1">
        <v>9</v>
      </c>
      <c r="F22" s="5">
        <v>72</v>
      </c>
      <c r="G22" s="3">
        <v>55.661281000000002</v>
      </c>
      <c r="H22" s="3">
        <v>51.835015200000001</v>
      </c>
      <c r="I22" s="4" t="str">
        <f t="shared" si="0"/>
        <v>Россия, Нижнекамск, Шинников  79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">
        <v>22</v>
      </c>
      <c r="B23" s="13" t="s">
        <v>14</v>
      </c>
      <c r="C23" s="1">
        <v>32</v>
      </c>
      <c r="D23" s="1">
        <v>12</v>
      </c>
      <c r="E23" s="1">
        <v>9</v>
      </c>
      <c r="F23" s="5">
        <v>394</v>
      </c>
      <c r="G23" s="3">
        <v>55.655886299999999</v>
      </c>
      <c r="H23" s="3">
        <v>51.827134399999998</v>
      </c>
      <c r="I23" s="4" t="str">
        <f t="shared" si="0"/>
        <v>Россия, Нижнекамск, Менделеева 32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">
        <v>23</v>
      </c>
      <c r="B24" s="13" t="s">
        <v>14</v>
      </c>
      <c r="C24" s="1" t="s">
        <v>15</v>
      </c>
      <c r="D24" s="1">
        <v>11</v>
      </c>
      <c r="E24" s="1">
        <v>5</v>
      </c>
      <c r="F24" s="5">
        <v>165</v>
      </c>
      <c r="G24" s="3">
        <v>55.6565905</v>
      </c>
      <c r="H24" s="3">
        <v>51.827624200000002</v>
      </c>
      <c r="I24" s="4" t="str">
        <f t="shared" si="0"/>
        <v>Россия, Нижнекамск, Менделеева 32 б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">
        <v>24</v>
      </c>
      <c r="B25" s="13" t="s">
        <v>14</v>
      </c>
      <c r="C25" s="1">
        <v>34</v>
      </c>
      <c r="D25" s="1">
        <v>5</v>
      </c>
      <c r="E25" s="1">
        <v>5</v>
      </c>
      <c r="F25" s="5">
        <v>65</v>
      </c>
      <c r="G25" s="3">
        <v>55.656829999999999</v>
      </c>
      <c r="H25" s="3">
        <v>51.826676800000001</v>
      </c>
      <c r="I25" s="4" t="str">
        <f t="shared" si="0"/>
        <v>Россия, Нижнекамск, Менделеева 34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">
        <v>25</v>
      </c>
      <c r="B26" s="13" t="s">
        <v>14</v>
      </c>
      <c r="C26" s="1">
        <v>41</v>
      </c>
      <c r="D26" s="1">
        <v>8</v>
      </c>
      <c r="E26" s="1">
        <v>9</v>
      </c>
      <c r="F26" s="5">
        <v>324</v>
      </c>
      <c r="G26" s="3">
        <v>55.656464999999997</v>
      </c>
      <c r="H26" s="3">
        <v>51.820752400000003</v>
      </c>
      <c r="I26" s="4" t="str">
        <f t="shared" si="0"/>
        <v>Россия, Нижнекамск, Менделеева 41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">
        <v>26</v>
      </c>
      <c r="B27" s="13" t="s">
        <v>16</v>
      </c>
      <c r="C27" s="1">
        <v>2</v>
      </c>
      <c r="D27" s="1">
        <v>11</v>
      </c>
      <c r="E27" s="1">
        <v>9</v>
      </c>
      <c r="F27" s="5">
        <v>373</v>
      </c>
      <c r="G27" s="3">
        <v>55.655526000000002</v>
      </c>
      <c r="H27" s="3">
        <v>51.819632599999998</v>
      </c>
      <c r="I27" s="4" t="str">
        <f t="shared" si="0"/>
        <v>Россия, Нижнекамск, Мурадьяна  2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">
        <v>27</v>
      </c>
      <c r="B28" s="13" t="s">
        <v>17</v>
      </c>
      <c r="C28" s="1">
        <v>4</v>
      </c>
      <c r="D28" s="1">
        <v>1</v>
      </c>
      <c r="E28" s="1">
        <v>9</v>
      </c>
      <c r="F28" s="5">
        <v>60</v>
      </c>
      <c r="G28" s="3">
        <v>55.658170499999997</v>
      </c>
      <c r="H28" s="3">
        <v>51.819440899999996</v>
      </c>
      <c r="I28" s="4" t="str">
        <f t="shared" si="0"/>
        <v>Россия, Нижнекамск, Мурадьяна 4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">
        <v>28</v>
      </c>
      <c r="B29" s="13" t="s">
        <v>17</v>
      </c>
      <c r="C29" s="1" t="s">
        <v>18</v>
      </c>
      <c r="D29" s="1">
        <v>1</v>
      </c>
      <c r="E29" s="1">
        <v>9</v>
      </c>
      <c r="F29" s="5">
        <v>45</v>
      </c>
      <c r="G29" s="3">
        <v>55.658034999999998</v>
      </c>
      <c r="H29" s="3">
        <v>51.820126299999998</v>
      </c>
      <c r="I29" s="4" t="str">
        <f t="shared" si="0"/>
        <v>Россия, Нижнекамск, Мурадьяна 4а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">
        <v>29</v>
      </c>
      <c r="B30" s="13" t="s">
        <v>17</v>
      </c>
      <c r="C30" s="1" t="s">
        <v>19</v>
      </c>
      <c r="D30" s="1">
        <v>5</v>
      </c>
      <c r="E30" s="1">
        <v>9</v>
      </c>
      <c r="F30" s="5">
        <v>162</v>
      </c>
      <c r="G30" s="3">
        <v>55.6597297</v>
      </c>
      <c r="H30" s="3">
        <v>51.821578000000002</v>
      </c>
      <c r="I30" s="4" t="str">
        <f t="shared" si="0"/>
        <v>Россия, Нижнекамск, Мурадьяна 8а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1">
        <v>30</v>
      </c>
      <c r="B31" s="13" t="s">
        <v>17</v>
      </c>
      <c r="C31" s="1">
        <v>12</v>
      </c>
      <c r="D31" s="1">
        <v>1</v>
      </c>
      <c r="E31" s="1">
        <v>9</v>
      </c>
      <c r="F31" s="5">
        <v>64</v>
      </c>
      <c r="G31" s="3">
        <v>55.6603092</v>
      </c>
      <c r="H31" s="3">
        <v>51.819798800000001</v>
      </c>
      <c r="I31" s="4" t="str">
        <f t="shared" si="0"/>
        <v>Россия, Нижнекамск, Мурадьяна 12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1">
        <v>31</v>
      </c>
      <c r="B32" s="13" t="s">
        <v>17</v>
      </c>
      <c r="C32" s="1">
        <v>20</v>
      </c>
      <c r="D32" s="1">
        <v>1</v>
      </c>
      <c r="E32" s="1">
        <v>9</v>
      </c>
      <c r="F32" s="5">
        <v>63</v>
      </c>
      <c r="G32" s="3">
        <v>55.662522099999997</v>
      </c>
      <c r="H32" s="3">
        <v>51.820104499999999</v>
      </c>
      <c r="I32" s="4" t="str">
        <f t="shared" si="0"/>
        <v>Россия, Нижнекамск, Мурадьяна 20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1">
        <v>32</v>
      </c>
      <c r="B33" s="13" t="s">
        <v>17</v>
      </c>
      <c r="C33" s="1">
        <v>28</v>
      </c>
      <c r="D33" s="1">
        <v>2</v>
      </c>
      <c r="E33" s="1">
        <v>9</v>
      </c>
      <c r="F33" s="5">
        <v>109</v>
      </c>
      <c r="G33" s="3">
        <v>55.663493000000003</v>
      </c>
      <c r="H33" s="3">
        <v>51.821413100000001</v>
      </c>
      <c r="I33" s="4" t="str">
        <f t="shared" si="0"/>
        <v>Россия, Нижнекамск, Мурадьяна 28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1">
        <v>33</v>
      </c>
      <c r="B34" s="13" t="s">
        <v>17</v>
      </c>
      <c r="C34" s="1">
        <v>30</v>
      </c>
      <c r="D34" s="1">
        <v>12</v>
      </c>
      <c r="E34" s="1">
        <v>9</v>
      </c>
      <c r="F34" s="5">
        <v>396</v>
      </c>
      <c r="G34" s="3">
        <v>55.664820499999998</v>
      </c>
      <c r="H34" s="3">
        <v>51.821438299999997</v>
      </c>
      <c r="I34" s="4" t="str">
        <f t="shared" si="0"/>
        <v>Россия, Нижнекамск, Мурадьяна 30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1">
        <v>34</v>
      </c>
      <c r="B35" s="13" t="s">
        <v>17</v>
      </c>
      <c r="C35" s="1">
        <v>34</v>
      </c>
      <c r="D35" s="1">
        <v>11</v>
      </c>
      <c r="E35" s="1">
        <v>9</v>
      </c>
      <c r="F35" s="5">
        <v>359</v>
      </c>
      <c r="G35" s="3">
        <v>55.664474200000001</v>
      </c>
      <c r="H35" s="3">
        <v>51.822959699999998</v>
      </c>
      <c r="I35" s="4" t="str">
        <f t="shared" si="0"/>
        <v>Россия, Нижнекамск, Мурадьяна 34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1">
        <v>35</v>
      </c>
      <c r="B36" s="13" t="s">
        <v>20</v>
      </c>
      <c r="C36" s="1">
        <v>1</v>
      </c>
      <c r="D36" s="1">
        <v>9</v>
      </c>
      <c r="E36" s="1">
        <v>9</v>
      </c>
      <c r="F36" s="5">
        <v>303</v>
      </c>
      <c r="G36" s="3">
        <v>55.6580084</v>
      </c>
      <c r="H36" s="3">
        <v>51.822181800000003</v>
      </c>
      <c r="I36" s="4" t="str">
        <f t="shared" si="0"/>
        <v>Россия, Нижнекамск, Бызова 1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">
        <v>36</v>
      </c>
      <c r="B37" s="13" t="s">
        <v>20</v>
      </c>
      <c r="C37" s="1">
        <v>3</v>
      </c>
      <c r="D37" s="1">
        <v>1</v>
      </c>
      <c r="E37" s="1">
        <v>9</v>
      </c>
      <c r="F37" s="5">
        <v>61</v>
      </c>
      <c r="G37" s="3">
        <v>55.658911699999997</v>
      </c>
      <c r="H37" s="3">
        <v>51.823638000000003</v>
      </c>
      <c r="I37" s="4" t="str">
        <f t="shared" si="0"/>
        <v>Россия, Нижнекамск, Бызова 3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1">
        <v>37</v>
      </c>
      <c r="B38" s="13" t="s">
        <v>20</v>
      </c>
      <c r="C38" s="1">
        <v>7</v>
      </c>
      <c r="D38" s="1">
        <v>4</v>
      </c>
      <c r="E38" s="1">
        <v>5</v>
      </c>
      <c r="F38" s="5">
        <v>50</v>
      </c>
      <c r="G38" s="3">
        <v>55.6608351</v>
      </c>
      <c r="H38" s="3">
        <v>51.827227899999997</v>
      </c>
      <c r="I38" s="4" t="str">
        <f t="shared" si="0"/>
        <v>Россия, Нижнекамск, Бызова 7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">
        <v>38</v>
      </c>
      <c r="B39" s="13" t="s">
        <v>20</v>
      </c>
      <c r="C39" s="1">
        <v>9</v>
      </c>
      <c r="D39" s="1">
        <v>12</v>
      </c>
      <c r="E39" s="1">
        <v>5</v>
      </c>
      <c r="F39" s="5">
        <v>178</v>
      </c>
      <c r="G39" s="3">
        <v>55.6615167</v>
      </c>
      <c r="H39" s="3">
        <v>51.8272792</v>
      </c>
      <c r="I39" s="4" t="str">
        <f t="shared" si="0"/>
        <v>Россия, Нижнекамск, Бызова 9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1">
        <v>39</v>
      </c>
      <c r="B40" s="13" t="s">
        <v>20</v>
      </c>
      <c r="C40" s="1">
        <v>13</v>
      </c>
      <c r="D40" s="1">
        <v>24</v>
      </c>
      <c r="E40" s="1">
        <v>5</v>
      </c>
      <c r="F40" s="5">
        <v>361</v>
      </c>
      <c r="G40" s="3">
        <v>55.662637199999999</v>
      </c>
      <c r="H40" s="3">
        <v>51.828766999999999</v>
      </c>
      <c r="I40" s="4" t="str">
        <f t="shared" si="0"/>
        <v>Россия, Нижнекамск, Бызова 13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1">
        <v>40</v>
      </c>
      <c r="B41" s="13" t="s">
        <v>20</v>
      </c>
      <c r="C41" s="1">
        <v>17</v>
      </c>
      <c r="D41" s="1">
        <v>9</v>
      </c>
      <c r="E41" s="1">
        <v>9</v>
      </c>
      <c r="F41" s="5">
        <v>303</v>
      </c>
      <c r="G41" s="3">
        <v>55.663538699999997</v>
      </c>
      <c r="H41" s="3">
        <v>51.8310058</v>
      </c>
      <c r="I41" s="4" t="str">
        <f t="shared" si="0"/>
        <v>Россия, Нижнекамск, Бызова 17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1">
        <v>41</v>
      </c>
      <c r="B42" s="13" t="s">
        <v>20</v>
      </c>
      <c r="C42" s="1">
        <v>6</v>
      </c>
      <c r="D42" s="1">
        <v>12</v>
      </c>
      <c r="E42" s="1">
        <v>5</v>
      </c>
      <c r="F42" s="5">
        <v>178</v>
      </c>
      <c r="G42" s="3">
        <v>55.658194700000003</v>
      </c>
      <c r="H42" s="3">
        <v>51.825984699999999</v>
      </c>
      <c r="I42" s="4" t="str">
        <f t="shared" si="0"/>
        <v>Россия, Нижнекамск, Бызова 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1">
        <v>42</v>
      </c>
      <c r="B43" s="13" t="s">
        <v>20</v>
      </c>
      <c r="C43" s="1">
        <v>10</v>
      </c>
      <c r="D43" s="1">
        <v>7</v>
      </c>
      <c r="E43" s="1">
        <v>5</v>
      </c>
      <c r="F43" s="5">
        <v>138</v>
      </c>
      <c r="G43" s="3">
        <v>55.65896</v>
      </c>
      <c r="H43" s="3">
        <v>51.827456400000003</v>
      </c>
      <c r="I43" s="4" t="str">
        <f t="shared" si="0"/>
        <v>Россия, Нижнекамск, Бызова 10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1">
        <v>43</v>
      </c>
      <c r="B44" s="13" t="s">
        <v>20</v>
      </c>
      <c r="C44" s="1">
        <v>12</v>
      </c>
      <c r="D44" s="1">
        <v>1</v>
      </c>
      <c r="E44" s="1">
        <v>9</v>
      </c>
      <c r="F44" s="5">
        <v>36</v>
      </c>
      <c r="G44" s="3">
        <v>55.659154399999998</v>
      </c>
      <c r="H44" s="3">
        <v>51.826691699999998</v>
      </c>
      <c r="I44" s="4" t="str">
        <f t="shared" si="0"/>
        <v>Россия, Нижнекамск, Бызова 12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1">
        <v>44</v>
      </c>
      <c r="B45" s="13" t="s">
        <v>20</v>
      </c>
      <c r="C45" s="1">
        <v>14</v>
      </c>
      <c r="D45" s="1">
        <v>1</v>
      </c>
      <c r="E45" s="1">
        <v>9</v>
      </c>
      <c r="F45" s="5">
        <v>36</v>
      </c>
      <c r="G45" s="3">
        <v>55.659481399999997</v>
      </c>
      <c r="H45" s="3">
        <v>51.827188599999999</v>
      </c>
      <c r="I45" s="4" t="str">
        <f t="shared" si="0"/>
        <v>Россия, Нижнекамск, Бызова 14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1">
        <v>45</v>
      </c>
      <c r="B46" s="13" t="s">
        <v>20</v>
      </c>
      <c r="C46" s="1">
        <v>16</v>
      </c>
      <c r="D46" s="1">
        <v>1</v>
      </c>
      <c r="E46" s="1">
        <v>9</v>
      </c>
      <c r="F46" s="5">
        <v>36</v>
      </c>
      <c r="G46" s="3">
        <v>55.659806400000001</v>
      </c>
      <c r="H46" s="3">
        <v>51.827674700000003</v>
      </c>
      <c r="I46" s="4" t="str">
        <f t="shared" si="0"/>
        <v>Россия, Нижнекамск, Бызова 16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1">
        <v>46</v>
      </c>
      <c r="B47" s="13" t="s">
        <v>20</v>
      </c>
      <c r="C47" s="1">
        <v>18</v>
      </c>
      <c r="D47" s="1">
        <v>16</v>
      </c>
      <c r="E47" s="1">
        <v>5</v>
      </c>
      <c r="F47" s="5">
        <v>241</v>
      </c>
      <c r="G47" s="3">
        <v>55.659599100000001</v>
      </c>
      <c r="H47" s="3">
        <v>51.829036799999997</v>
      </c>
      <c r="I47" s="4" t="str">
        <f t="shared" si="0"/>
        <v>Россия, Нижнекамск, Бызова 18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1">
        <v>47</v>
      </c>
      <c r="B48" s="13" t="s">
        <v>21</v>
      </c>
      <c r="C48" s="1">
        <v>11</v>
      </c>
      <c r="D48" s="1">
        <v>15</v>
      </c>
      <c r="E48" s="1">
        <v>5</v>
      </c>
      <c r="F48" s="5">
        <v>243</v>
      </c>
      <c r="G48" s="3">
        <v>55.656787999999999</v>
      </c>
      <c r="H48" s="3">
        <v>51.845826000000002</v>
      </c>
      <c r="I48" s="4" t="str">
        <f t="shared" si="0"/>
        <v>Россия, Нижнекамск, Кайманова 11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1">
        <v>48</v>
      </c>
      <c r="B49" s="13" t="s">
        <v>22</v>
      </c>
      <c r="C49" s="1">
        <v>2</v>
      </c>
      <c r="D49" s="1">
        <v>11</v>
      </c>
      <c r="E49" s="1">
        <v>5</v>
      </c>
      <c r="F49" s="5">
        <v>156</v>
      </c>
      <c r="G49" s="3">
        <v>55.640233000000002</v>
      </c>
      <c r="H49" s="3">
        <v>51.836852</v>
      </c>
      <c r="I49" s="4" t="str">
        <f t="shared" si="0"/>
        <v>Россия, Нижнекамск, Гагарина  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1">
        <v>49</v>
      </c>
      <c r="B50" s="13" t="s">
        <v>22</v>
      </c>
      <c r="C50" s="1">
        <v>4</v>
      </c>
      <c r="D50" s="1">
        <v>12</v>
      </c>
      <c r="E50" s="1">
        <v>5</v>
      </c>
      <c r="F50" s="5">
        <v>183</v>
      </c>
      <c r="G50" s="3">
        <v>55.641620000000003</v>
      </c>
      <c r="H50" s="3">
        <v>51.837966000000002</v>
      </c>
      <c r="I50" s="4" t="str">
        <f t="shared" si="0"/>
        <v>Россия, Нижнекамск, Гагарина  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1">
        <v>50</v>
      </c>
      <c r="B51" s="13" t="s">
        <v>22</v>
      </c>
      <c r="C51" s="1">
        <v>8</v>
      </c>
      <c r="D51" s="1">
        <v>8</v>
      </c>
      <c r="E51" s="1">
        <v>5</v>
      </c>
      <c r="F51" s="5">
        <v>109</v>
      </c>
      <c r="G51" s="3">
        <v>55.643560999999998</v>
      </c>
      <c r="H51" s="3">
        <v>51.839871000000002</v>
      </c>
      <c r="I51" s="4" t="str">
        <f t="shared" si="0"/>
        <v>Россия, Нижнекамск, Гагарина  8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1">
        <v>51</v>
      </c>
      <c r="B52" s="13" t="s">
        <v>23</v>
      </c>
      <c r="C52" s="1">
        <v>21</v>
      </c>
      <c r="D52" s="1">
        <v>12</v>
      </c>
      <c r="E52" s="1">
        <v>5</v>
      </c>
      <c r="F52" s="5">
        <v>178</v>
      </c>
      <c r="G52" s="3">
        <v>55.639156</v>
      </c>
      <c r="H52" s="3">
        <v>51.840212000000001</v>
      </c>
      <c r="I52" s="4" t="str">
        <f t="shared" si="0"/>
        <v>Россия, Нижнекамск, Спортивная 21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1">
        <v>52</v>
      </c>
      <c r="B53" s="13" t="s">
        <v>24</v>
      </c>
      <c r="C53" s="1">
        <v>5</v>
      </c>
      <c r="D53" s="1">
        <v>14</v>
      </c>
      <c r="E53" s="1">
        <v>5</v>
      </c>
      <c r="F53" s="5">
        <v>209</v>
      </c>
      <c r="G53" s="3">
        <v>55.639803399999998</v>
      </c>
      <c r="H53" s="3">
        <v>51.843470000000003</v>
      </c>
      <c r="I53" s="4" t="str">
        <f t="shared" si="0"/>
        <v>Россия, Нижнекамск, Чабьинская  5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1">
        <v>53</v>
      </c>
      <c r="B54" s="13" t="s">
        <v>24</v>
      </c>
      <c r="C54" s="1" t="s">
        <v>25</v>
      </c>
      <c r="D54" s="1">
        <v>21</v>
      </c>
      <c r="E54" s="1">
        <v>5</v>
      </c>
      <c r="F54" s="5">
        <v>321</v>
      </c>
      <c r="G54" s="3">
        <v>55.640146700000003</v>
      </c>
      <c r="H54" s="3">
        <v>51.842502099999997</v>
      </c>
      <c r="I54" s="4" t="str">
        <f t="shared" si="0"/>
        <v>Россия, Нижнекамск, Чабьинская  5а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1">
        <v>54</v>
      </c>
      <c r="B55" s="13" t="s">
        <v>26</v>
      </c>
      <c r="C55" s="1">
        <v>94</v>
      </c>
      <c r="D55" s="1">
        <v>15</v>
      </c>
      <c r="E55" s="1">
        <v>9</v>
      </c>
      <c r="F55" s="5">
        <v>570</v>
      </c>
      <c r="G55" s="3">
        <v>55.652372200000002</v>
      </c>
      <c r="H55" s="3">
        <v>51.839274699999997</v>
      </c>
      <c r="I55" s="4" t="str">
        <f t="shared" si="0"/>
        <v>Россия, Нижнекамск, Химиков  94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1">
        <v>55</v>
      </c>
      <c r="B56" s="13" t="s">
        <v>26</v>
      </c>
      <c r="C56" s="1">
        <v>104</v>
      </c>
      <c r="D56" s="1">
        <v>6</v>
      </c>
      <c r="E56" s="1">
        <v>5</v>
      </c>
      <c r="F56" s="5">
        <v>80</v>
      </c>
      <c r="G56" s="3">
        <v>55.655264699999996</v>
      </c>
      <c r="H56" s="3">
        <v>51.841673999999998</v>
      </c>
      <c r="I56" s="4" t="str">
        <f t="shared" si="0"/>
        <v>Россия, Нижнекамск, Химиков  104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1">
        <v>56</v>
      </c>
      <c r="B57" s="13" t="s">
        <v>26</v>
      </c>
      <c r="C57" s="1">
        <v>108</v>
      </c>
      <c r="D57" s="1">
        <v>13</v>
      </c>
      <c r="E57" s="1">
        <v>5</v>
      </c>
      <c r="F57" s="5">
        <v>191</v>
      </c>
      <c r="G57" s="3">
        <v>55.655532600000001</v>
      </c>
      <c r="H57" s="3">
        <v>51.842647800000002</v>
      </c>
      <c r="I57" s="4" t="str">
        <f t="shared" si="0"/>
        <v>Россия, Нижнекамск, Химиков  108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1">
        <v>57</v>
      </c>
      <c r="B58" s="13" t="s">
        <v>26</v>
      </c>
      <c r="C58" s="1">
        <v>112</v>
      </c>
      <c r="D58" s="1">
        <v>7</v>
      </c>
      <c r="E58" s="1">
        <v>5</v>
      </c>
      <c r="F58" s="5">
        <v>94</v>
      </c>
      <c r="G58" s="3">
        <v>55.657201899999997</v>
      </c>
      <c r="H58" s="3">
        <v>51.843401900000003</v>
      </c>
      <c r="I58" s="4" t="str">
        <f t="shared" si="0"/>
        <v>Россия, Нижнекамск, Химиков  112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1">
        <v>58</v>
      </c>
      <c r="B59" s="13" t="s">
        <v>22</v>
      </c>
      <c r="C59" s="1">
        <v>18</v>
      </c>
      <c r="D59" s="1">
        <v>1</v>
      </c>
      <c r="E59" s="1">
        <v>9</v>
      </c>
      <c r="F59" s="5">
        <v>62</v>
      </c>
      <c r="G59" s="3">
        <v>55.64696</v>
      </c>
      <c r="H59" s="3">
        <v>51.845861999999997</v>
      </c>
      <c r="I59" s="4" t="str">
        <f t="shared" si="0"/>
        <v>Россия, Нижнекамск, Гагарина  18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1">
        <v>59</v>
      </c>
      <c r="B60" s="13" t="s">
        <v>22</v>
      </c>
      <c r="C60" s="1">
        <v>20</v>
      </c>
      <c r="D60" s="1">
        <v>1</v>
      </c>
      <c r="E60" s="1">
        <v>9</v>
      </c>
      <c r="F60" s="5">
        <v>62</v>
      </c>
      <c r="G60" s="3">
        <v>55.647590000000001</v>
      </c>
      <c r="H60" s="3">
        <v>51.845852999999998</v>
      </c>
      <c r="I60" s="4" t="str">
        <f t="shared" si="0"/>
        <v>Россия, Нижнекамск, Гагарина  20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1">
        <v>60</v>
      </c>
      <c r="B61" s="13" t="s">
        <v>22</v>
      </c>
      <c r="C61" s="1">
        <v>22</v>
      </c>
      <c r="D61" s="1">
        <v>1</v>
      </c>
      <c r="E61" s="1">
        <v>9</v>
      </c>
      <c r="F61" s="5">
        <v>62</v>
      </c>
      <c r="G61" s="3">
        <v>55.647097000000002</v>
      </c>
      <c r="H61" s="3">
        <v>51.847209999999997</v>
      </c>
      <c r="I61" s="4" t="str">
        <f t="shared" si="0"/>
        <v>Россия, Нижнекамск, Гагарина  22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1">
        <v>61</v>
      </c>
      <c r="B62" s="13" t="s">
        <v>27</v>
      </c>
      <c r="C62" s="1">
        <v>3</v>
      </c>
      <c r="D62" s="1">
        <v>6</v>
      </c>
      <c r="E62" s="1">
        <v>9</v>
      </c>
      <c r="F62" s="5">
        <v>198</v>
      </c>
      <c r="G62" s="3">
        <v>55.651947999999997</v>
      </c>
      <c r="H62" s="3">
        <v>51.818337999999997</v>
      </c>
      <c r="I62" s="4" t="str">
        <f t="shared" si="0"/>
        <v>Россия, Нижнекамск, Мира  3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1">
        <v>62</v>
      </c>
      <c r="B63" s="13" t="s">
        <v>27</v>
      </c>
      <c r="C63" s="1">
        <v>5</v>
      </c>
      <c r="D63" s="1">
        <v>10</v>
      </c>
      <c r="E63" s="1">
        <v>9</v>
      </c>
      <c r="F63" s="5">
        <v>341</v>
      </c>
      <c r="G63" s="3">
        <v>55.652191999999999</v>
      </c>
      <c r="H63" s="3">
        <v>51.816406999999998</v>
      </c>
      <c r="I63" s="4" t="str">
        <f t="shared" si="0"/>
        <v>Россия, Нижнекамск, Мира  5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1">
        <v>63</v>
      </c>
      <c r="B64" s="13" t="s">
        <v>27</v>
      </c>
      <c r="C64" s="1">
        <v>7</v>
      </c>
      <c r="D64" s="1">
        <v>1</v>
      </c>
      <c r="E64" s="1">
        <v>9</v>
      </c>
      <c r="F64" s="5">
        <v>144</v>
      </c>
      <c r="G64" s="3">
        <v>55.650708999999999</v>
      </c>
      <c r="H64" s="3">
        <v>51.817646000000003</v>
      </c>
      <c r="I64" s="4" t="str">
        <f t="shared" si="0"/>
        <v>Россия, Нижнекамск, Мира  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1">
        <v>64</v>
      </c>
      <c r="B65" s="13" t="s">
        <v>27</v>
      </c>
      <c r="C65" s="1">
        <v>17</v>
      </c>
      <c r="D65" s="1">
        <v>8</v>
      </c>
      <c r="E65" s="1">
        <v>9</v>
      </c>
      <c r="F65" s="5">
        <v>270</v>
      </c>
      <c r="G65" s="3">
        <v>55.650545999999999</v>
      </c>
      <c r="H65" s="3">
        <v>51.814807999999999</v>
      </c>
      <c r="I65" s="4" t="str">
        <f t="shared" si="0"/>
        <v>Россия, Нижнекамск, Мира  17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1">
        <v>65</v>
      </c>
      <c r="B66" s="13" t="s">
        <v>27</v>
      </c>
      <c r="C66" s="1">
        <v>23</v>
      </c>
      <c r="D66" s="1">
        <v>8</v>
      </c>
      <c r="E66" s="1">
        <v>9</v>
      </c>
      <c r="F66" s="5">
        <v>288</v>
      </c>
      <c r="G66" s="3">
        <v>55.649343999999999</v>
      </c>
      <c r="H66" s="3">
        <v>51.813375999999998</v>
      </c>
      <c r="I66" s="4" t="str">
        <f t="shared" si="0"/>
        <v>Россия, Нижнекамск, Мира  23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1">
        <v>66</v>
      </c>
      <c r="B67" s="13" t="s">
        <v>27</v>
      </c>
      <c r="C67" s="1">
        <v>37</v>
      </c>
      <c r="D67" s="1">
        <v>6</v>
      </c>
      <c r="E67" s="1">
        <v>9</v>
      </c>
      <c r="F67" s="5">
        <v>270</v>
      </c>
      <c r="G67" s="3">
        <v>55.648214799999998</v>
      </c>
      <c r="H67" s="3">
        <v>51.8114347</v>
      </c>
      <c r="I67" s="4" t="str">
        <f t="shared" si="0"/>
        <v>Россия, Нижнекамск, Мира  37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1">
        <v>67</v>
      </c>
      <c r="B68" s="13" t="s">
        <v>27</v>
      </c>
      <c r="C68" s="1">
        <v>43</v>
      </c>
      <c r="D68" s="1">
        <v>7</v>
      </c>
      <c r="E68" s="1">
        <v>9</v>
      </c>
      <c r="F68" s="5">
        <v>290</v>
      </c>
      <c r="G68" s="3">
        <v>55.647077799999998</v>
      </c>
      <c r="H68" s="3">
        <v>51.809934200000001</v>
      </c>
      <c r="I68" s="4" t="str">
        <f t="shared" si="0"/>
        <v>Россия, Нижнекамск, Мира  43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1">
        <v>68</v>
      </c>
      <c r="B69" s="13" t="s">
        <v>28</v>
      </c>
      <c r="C69" s="1">
        <v>32</v>
      </c>
      <c r="D69" s="1">
        <v>8</v>
      </c>
      <c r="E69" s="1">
        <v>9</v>
      </c>
      <c r="F69" s="5">
        <v>288</v>
      </c>
      <c r="G69" s="3">
        <v>55.653754999999997</v>
      </c>
      <c r="H69" s="3">
        <v>51.821558600000003</v>
      </c>
      <c r="I69" s="4" t="str">
        <f t="shared" si="0"/>
        <v>Россия, Нижнекамск, Вахитова 32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1">
        <v>69</v>
      </c>
      <c r="B70" s="13" t="s">
        <v>28</v>
      </c>
      <c r="C70" s="1">
        <v>43</v>
      </c>
      <c r="D70" s="1">
        <v>3</v>
      </c>
      <c r="E70" s="1">
        <v>10</v>
      </c>
      <c r="F70" s="5">
        <v>156</v>
      </c>
      <c r="G70" s="3">
        <v>55.650943599999998</v>
      </c>
      <c r="H70" s="3">
        <v>51.821693199999999</v>
      </c>
      <c r="I70" s="4" t="str">
        <f t="shared" si="0"/>
        <v>Россия, Нижнекамск, Вахитова 43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1">
        <v>70</v>
      </c>
      <c r="B71" s="13" t="s">
        <v>28</v>
      </c>
      <c r="C71" s="1">
        <v>45</v>
      </c>
      <c r="D71" s="1">
        <v>1</v>
      </c>
      <c r="E71" s="6">
        <v>9</v>
      </c>
      <c r="F71" s="5">
        <v>144</v>
      </c>
      <c r="G71" s="3">
        <v>55.651077100000002</v>
      </c>
      <c r="H71" s="3">
        <v>51.820496800000001</v>
      </c>
      <c r="I71" s="4" t="str">
        <f t="shared" si="0"/>
        <v>Россия, Нижнекамск, Вахитова 45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1">
        <v>71</v>
      </c>
      <c r="B72" s="13" t="s">
        <v>28</v>
      </c>
      <c r="C72" s="1">
        <v>51</v>
      </c>
      <c r="D72" s="1">
        <v>9</v>
      </c>
      <c r="E72" s="1">
        <v>9</v>
      </c>
      <c r="F72" s="5">
        <v>270</v>
      </c>
      <c r="G72" s="3">
        <v>55.652265800000002</v>
      </c>
      <c r="H72" s="3">
        <v>51.819525400000003</v>
      </c>
      <c r="I72" s="4" t="str">
        <f t="shared" si="0"/>
        <v>Россия, Нижнекамск, Вахитова 51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1">
        <v>72</v>
      </c>
      <c r="B73" s="13" t="s">
        <v>29</v>
      </c>
      <c r="C73" s="1">
        <v>14</v>
      </c>
      <c r="D73" s="1">
        <v>6</v>
      </c>
      <c r="E73" s="1">
        <v>9</v>
      </c>
      <c r="F73" s="5">
        <v>195</v>
      </c>
      <c r="G73" s="3">
        <v>55.642169000000003</v>
      </c>
      <c r="H73" s="3">
        <v>51.808241000000002</v>
      </c>
      <c r="I73" s="4" t="str">
        <f t="shared" si="0"/>
        <v>Россия, Нижнекамск, Баки Урманче 14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1">
        <v>73</v>
      </c>
      <c r="B74" s="13" t="s">
        <v>29</v>
      </c>
      <c r="C74" s="1">
        <v>28</v>
      </c>
      <c r="D74" s="1">
        <v>10</v>
      </c>
      <c r="E74" s="1">
        <v>9</v>
      </c>
      <c r="F74" s="5">
        <v>324</v>
      </c>
      <c r="G74" s="3">
        <v>55.643312000000002</v>
      </c>
      <c r="H74" s="3">
        <v>51.805393000000002</v>
      </c>
      <c r="I74" s="4" t="str">
        <f t="shared" si="0"/>
        <v>Россия, Нижнекамск, Баки Урманче 28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1">
        <v>74</v>
      </c>
      <c r="B75" s="13" t="s">
        <v>30</v>
      </c>
      <c r="C75" s="1">
        <v>6</v>
      </c>
      <c r="D75" s="1">
        <v>3</v>
      </c>
      <c r="E75" s="6">
        <v>10</v>
      </c>
      <c r="F75" s="5">
        <v>111</v>
      </c>
      <c r="G75" s="3">
        <v>55.653405999999997</v>
      </c>
      <c r="H75" s="3">
        <v>51.815634000000003</v>
      </c>
      <c r="I75" s="4" t="str">
        <f t="shared" si="0"/>
        <v>Россия, Нижнекамск, Мира 6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1">
        <v>75</v>
      </c>
      <c r="B76" s="13" t="s">
        <v>30</v>
      </c>
      <c r="C76" s="1">
        <v>8</v>
      </c>
      <c r="D76" s="1">
        <v>5</v>
      </c>
      <c r="E76" s="6">
        <v>10</v>
      </c>
      <c r="F76" s="5">
        <v>200</v>
      </c>
      <c r="G76" s="3">
        <v>55.653334999999998</v>
      </c>
      <c r="H76" s="3">
        <v>51.814250999999999</v>
      </c>
      <c r="I76" s="4" t="str">
        <f t="shared" si="0"/>
        <v>Россия, Нижнекамск, Мира 8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1">
        <v>76</v>
      </c>
      <c r="B77" s="13" t="s">
        <v>30</v>
      </c>
      <c r="C77" s="1">
        <v>20</v>
      </c>
      <c r="D77" s="1">
        <v>2</v>
      </c>
      <c r="E77" s="1">
        <v>5</v>
      </c>
      <c r="F77" s="5">
        <v>30</v>
      </c>
      <c r="G77" s="3">
        <v>55.652110499999999</v>
      </c>
      <c r="H77" s="3">
        <v>51.812297700000002</v>
      </c>
      <c r="I77" s="4" t="str">
        <f t="shared" si="0"/>
        <v>Россия, Нижнекамск, Мира 20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1">
        <v>77</v>
      </c>
      <c r="B78" s="13" t="s">
        <v>30</v>
      </c>
      <c r="C78" s="1">
        <v>22</v>
      </c>
      <c r="D78" s="1">
        <v>2</v>
      </c>
      <c r="E78" s="1">
        <v>5</v>
      </c>
      <c r="F78" s="5">
        <v>29</v>
      </c>
      <c r="G78" s="3">
        <v>55.652477900000001</v>
      </c>
      <c r="H78" s="3">
        <v>51.812165100000001</v>
      </c>
      <c r="I78" s="4" t="str">
        <f t="shared" si="0"/>
        <v>Россия, Нижнекамск, Мира 22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1">
        <v>78</v>
      </c>
      <c r="B79" s="13" t="s">
        <v>30</v>
      </c>
      <c r="C79" s="1">
        <v>24</v>
      </c>
      <c r="D79" s="1">
        <v>2</v>
      </c>
      <c r="E79" s="1">
        <v>5</v>
      </c>
      <c r="F79" s="5">
        <v>45</v>
      </c>
      <c r="G79" s="3">
        <v>55.652413899999999</v>
      </c>
      <c r="H79" s="3">
        <v>51.811400300000003</v>
      </c>
      <c r="I79" s="4" t="str">
        <f t="shared" si="0"/>
        <v>Россия, Нижнекамск, Мира 24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1">
        <v>79</v>
      </c>
      <c r="B80" s="13" t="s">
        <v>30</v>
      </c>
      <c r="C80" s="9" t="s">
        <v>31</v>
      </c>
      <c r="D80" s="1">
        <v>3</v>
      </c>
      <c r="E80" s="1">
        <v>5</v>
      </c>
      <c r="F80" s="5">
        <v>30</v>
      </c>
      <c r="G80" s="3">
        <v>55.652054800000002</v>
      </c>
      <c r="H80" s="3">
        <v>51.810978300000002</v>
      </c>
      <c r="I80" s="4" t="str">
        <f t="shared" si="0"/>
        <v>Россия, Нижнекамск, Мира 24а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1">
        <v>80</v>
      </c>
      <c r="B81" s="13" t="s">
        <v>30</v>
      </c>
      <c r="C81" s="1">
        <v>26</v>
      </c>
      <c r="D81" s="1">
        <v>3</v>
      </c>
      <c r="E81" s="6">
        <v>8</v>
      </c>
      <c r="F81" s="5">
        <v>58</v>
      </c>
      <c r="G81" s="3">
        <v>55.651624200000001</v>
      </c>
      <c r="H81" s="3">
        <v>51.811394300000003</v>
      </c>
      <c r="I81" s="4" t="str">
        <f t="shared" si="0"/>
        <v>Россия, Нижнекамск, Мира 26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1">
        <v>81</v>
      </c>
      <c r="B82" s="13" t="s">
        <v>30</v>
      </c>
      <c r="C82" s="1">
        <v>30</v>
      </c>
      <c r="D82" s="1">
        <v>5</v>
      </c>
      <c r="E82" s="6">
        <v>10</v>
      </c>
      <c r="F82" s="5">
        <v>199</v>
      </c>
      <c r="G82" s="3">
        <v>55.651097300000004</v>
      </c>
      <c r="H82" s="3">
        <v>51.810790799999999</v>
      </c>
      <c r="I82" s="4" t="str">
        <f t="shared" si="0"/>
        <v>Россия, Нижнекамск, Мира 30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1">
        <v>82</v>
      </c>
      <c r="B83" s="13" t="s">
        <v>30</v>
      </c>
      <c r="C83" s="1">
        <v>32</v>
      </c>
      <c r="D83" s="1">
        <v>3</v>
      </c>
      <c r="E83" s="1">
        <v>9</v>
      </c>
      <c r="F83" s="5">
        <v>108</v>
      </c>
      <c r="G83" s="3">
        <v>55.651873299999998</v>
      </c>
      <c r="H83" s="3">
        <v>51.809313099999997</v>
      </c>
      <c r="I83" s="4" t="str">
        <f t="shared" si="0"/>
        <v>Россия, Нижнекамск, Мира 32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1">
        <v>83</v>
      </c>
      <c r="B84" s="13" t="s">
        <v>30</v>
      </c>
      <c r="C84" s="1">
        <v>38</v>
      </c>
      <c r="D84" s="1">
        <v>1</v>
      </c>
      <c r="E84" s="1">
        <v>9</v>
      </c>
      <c r="F84" s="5">
        <v>210</v>
      </c>
      <c r="G84" s="3">
        <v>55.650210299999998</v>
      </c>
      <c r="H84" s="3">
        <v>51.810714900000001</v>
      </c>
      <c r="I84" s="4" t="str">
        <f t="shared" si="0"/>
        <v>Россия, Нижнекамск, Мира 38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1">
        <v>84</v>
      </c>
      <c r="B85" s="13" t="s">
        <v>30</v>
      </c>
      <c r="C85" s="9" t="s">
        <v>32</v>
      </c>
      <c r="D85" s="1">
        <v>1</v>
      </c>
      <c r="E85" s="1">
        <v>9</v>
      </c>
      <c r="F85" s="5">
        <v>36</v>
      </c>
      <c r="G85" s="3">
        <v>55.6499302</v>
      </c>
      <c r="H85" s="3">
        <v>51.809756100000001</v>
      </c>
      <c r="I85" s="4" t="str">
        <f t="shared" si="0"/>
        <v>Россия, Нижнекамск, Мира 38а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1">
        <v>85</v>
      </c>
      <c r="B86" s="13" t="s">
        <v>30</v>
      </c>
      <c r="C86" s="1">
        <v>40</v>
      </c>
      <c r="D86" s="1">
        <v>2</v>
      </c>
      <c r="E86" s="1">
        <v>5</v>
      </c>
      <c r="F86" s="5">
        <v>30</v>
      </c>
      <c r="G86" s="3">
        <v>55.649807699999997</v>
      </c>
      <c r="H86" s="3">
        <v>51.808755099999999</v>
      </c>
      <c r="I86" s="4" t="str">
        <f t="shared" si="0"/>
        <v>Россия, Нижнекамск, Мира 40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1">
        <v>86</v>
      </c>
      <c r="B87" s="13" t="s">
        <v>30</v>
      </c>
      <c r="C87" s="1">
        <v>42</v>
      </c>
      <c r="D87" s="1">
        <v>2</v>
      </c>
      <c r="E87" s="1">
        <v>5</v>
      </c>
      <c r="F87" s="5">
        <v>30</v>
      </c>
      <c r="G87" s="3">
        <v>55.650171800000003</v>
      </c>
      <c r="H87" s="3">
        <v>51.808698399999997</v>
      </c>
      <c r="I87" s="4" t="str">
        <f t="shared" si="0"/>
        <v>Россия, Нижнекамск, Мира 42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1">
        <v>87</v>
      </c>
      <c r="B88" s="13" t="s">
        <v>30</v>
      </c>
      <c r="C88" s="1">
        <v>44</v>
      </c>
      <c r="D88" s="1">
        <v>2</v>
      </c>
      <c r="E88" s="1">
        <v>5</v>
      </c>
      <c r="F88" s="5">
        <v>45</v>
      </c>
      <c r="G88" s="3">
        <v>55.649957700000002</v>
      </c>
      <c r="H88" s="3">
        <v>51.807890499999999</v>
      </c>
      <c r="I88" s="4" t="str">
        <f t="shared" si="0"/>
        <v>Россия, Нижнекамск, Мира 44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1">
        <v>88</v>
      </c>
      <c r="B89" s="13" t="s">
        <v>30</v>
      </c>
      <c r="C89" s="1">
        <v>46</v>
      </c>
      <c r="D89" s="1">
        <v>3</v>
      </c>
      <c r="E89" s="1">
        <v>5</v>
      </c>
      <c r="F89" s="5">
        <v>55</v>
      </c>
      <c r="G89" s="3">
        <v>55.649313599999999</v>
      </c>
      <c r="H89" s="3">
        <v>51.808013500000001</v>
      </c>
      <c r="I89" s="4" t="str">
        <f t="shared" si="0"/>
        <v>Россия, Нижнекамск, Мира 46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1">
        <v>89</v>
      </c>
      <c r="B90" s="13" t="s">
        <v>30</v>
      </c>
      <c r="C90" s="1">
        <v>48</v>
      </c>
      <c r="D90" s="1">
        <v>4</v>
      </c>
      <c r="E90" s="6">
        <v>10</v>
      </c>
      <c r="F90" s="5">
        <v>133</v>
      </c>
      <c r="G90" s="3">
        <v>55.648991899999999</v>
      </c>
      <c r="H90" s="3">
        <v>51.8088549</v>
      </c>
      <c r="I90" s="4" t="str">
        <f t="shared" si="0"/>
        <v>Россия, Нижнекамск, Мира 48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1">
        <v>90</v>
      </c>
      <c r="B91" s="13" t="s">
        <v>30</v>
      </c>
      <c r="C91" s="1">
        <v>50</v>
      </c>
      <c r="D91" s="1">
        <v>5</v>
      </c>
      <c r="E91" s="6">
        <v>10</v>
      </c>
      <c r="F91" s="5">
        <v>193</v>
      </c>
      <c r="G91" s="3">
        <v>55.648798900000003</v>
      </c>
      <c r="H91" s="3">
        <v>51.807350800000002</v>
      </c>
      <c r="I91" s="4" t="str">
        <f t="shared" si="0"/>
        <v>Россия, Нижнекамск, Мира 50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1">
        <v>91</v>
      </c>
      <c r="B92" s="14" t="s">
        <v>33</v>
      </c>
      <c r="C92" s="9">
        <v>2</v>
      </c>
      <c r="D92" s="9">
        <v>2</v>
      </c>
      <c r="E92" s="10">
        <v>10</v>
      </c>
      <c r="F92" s="11">
        <v>60</v>
      </c>
      <c r="G92" s="3">
        <v>55.649515700000002</v>
      </c>
      <c r="H92" s="3">
        <v>51.806144799999998</v>
      </c>
      <c r="I92" s="4" t="str">
        <f t="shared" si="0"/>
        <v>Россия, Нижнекамск, Чулман 2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1">
        <v>92</v>
      </c>
      <c r="B93" s="14" t="s">
        <v>33</v>
      </c>
      <c r="C93" s="9">
        <v>8</v>
      </c>
      <c r="D93" s="9">
        <v>1</v>
      </c>
      <c r="E93" s="10">
        <v>10</v>
      </c>
      <c r="F93" s="11">
        <v>57</v>
      </c>
      <c r="G93" s="3">
        <v>55.650464599999999</v>
      </c>
      <c r="H93" s="3">
        <v>51.804794200000003</v>
      </c>
      <c r="I93" s="4" t="str">
        <f t="shared" si="0"/>
        <v>Россия, Нижнекамск, Чулман 8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1">
        <v>93</v>
      </c>
      <c r="B94" s="14" t="s">
        <v>33</v>
      </c>
      <c r="C94" s="9">
        <v>10</v>
      </c>
      <c r="D94" s="9">
        <v>3</v>
      </c>
      <c r="E94" s="10">
        <v>9</v>
      </c>
      <c r="F94" s="11">
        <v>90</v>
      </c>
      <c r="G94" s="3">
        <v>55.6507559</v>
      </c>
      <c r="H94" s="3">
        <v>51.8054281</v>
      </c>
      <c r="I94" s="4" t="str">
        <f t="shared" si="0"/>
        <v>Россия, Нижнекамск, Чулман 10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1">
        <v>94</v>
      </c>
      <c r="B95" s="14" t="s">
        <v>33</v>
      </c>
      <c r="C95" s="9">
        <v>12</v>
      </c>
      <c r="D95" s="9">
        <v>1</v>
      </c>
      <c r="E95" s="10">
        <v>10</v>
      </c>
      <c r="F95" s="11">
        <v>57</v>
      </c>
      <c r="G95" s="3">
        <v>55.6505042</v>
      </c>
      <c r="H95" s="3">
        <v>51.804002599999997</v>
      </c>
      <c r="I95" s="4" t="str">
        <f t="shared" si="0"/>
        <v>Россия, Нижнекамск, Чулман 12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1">
        <v>95</v>
      </c>
      <c r="B96" s="14" t="s">
        <v>33</v>
      </c>
      <c r="C96" s="9">
        <v>14</v>
      </c>
      <c r="D96" s="9">
        <v>2</v>
      </c>
      <c r="E96" s="10">
        <v>5</v>
      </c>
      <c r="F96" s="11">
        <v>30</v>
      </c>
      <c r="G96" s="3">
        <v>55.651356800000002</v>
      </c>
      <c r="H96" s="3">
        <v>51.805205100000002</v>
      </c>
      <c r="I96" s="4" t="str">
        <f t="shared" si="0"/>
        <v>Россия, Нижнекамск, Чулман 14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1">
        <v>96</v>
      </c>
      <c r="B97" s="14" t="s">
        <v>33</v>
      </c>
      <c r="C97" s="9">
        <v>16</v>
      </c>
      <c r="D97" s="9">
        <v>1</v>
      </c>
      <c r="E97" s="10">
        <v>10</v>
      </c>
      <c r="F97" s="11">
        <v>57</v>
      </c>
      <c r="G97" s="3">
        <v>55.650828699999998</v>
      </c>
      <c r="H97" s="3">
        <v>51.804049499999998</v>
      </c>
      <c r="I97" s="4" t="str">
        <f t="shared" si="0"/>
        <v>Россия, Нижнекамск, Чулман 16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1">
        <v>97</v>
      </c>
      <c r="B98" s="14" t="s">
        <v>34</v>
      </c>
      <c r="C98" s="9">
        <v>44</v>
      </c>
      <c r="D98" s="9">
        <v>1</v>
      </c>
      <c r="E98" s="10"/>
      <c r="F98" s="11">
        <v>53</v>
      </c>
      <c r="G98" s="3">
        <v>55.650823899999999</v>
      </c>
      <c r="H98" s="3">
        <v>51.803338199999999</v>
      </c>
      <c r="I98" s="4" t="str">
        <f t="shared" si="0"/>
        <v>Россия, Нижнекамск, Сююмбике 44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1">
        <v>98</v>
      </c>
      <c r="B99" s="14" t="s">
        <v>34</v>
      </c>
      <c r="C99" s="9">
        <v>52</v>
      </c>
      <c r="D99" s="9">
        <v>3</v>
      </c>
      <c r="E99" s="10"/>
      <c r="F99" s="11">
        <v>60</v>
      </c>
      <c r="G99" s="3">
        <v>55.652108900000002</v>
      </c>
      <c r="H99" s="3">
        <v>51.805556500000002</v>
      </c>
      <c r="I99" s="4" t="str">
        <f t="shared" si="0"/>
        <v>Россия, Нижнекамск, Сююмбике 52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1">
        <v>99</v>
      </c>
      <c r="B100" s="14" t="s">
        <v>34</v>
      </c>
      <c r="C100" s="9">
        <v>64</v>
      </c>
      <c r="D100" s="9">
        <v>6</v>
      </c>
      <c r="E100" s="10">
        <v>6</v>
      </c>
      <c r="F100" s="11">
        <v>93</v>
      </c>
      <c r="G100" s="3">
        <v>55.652342400000002</v>
      </c>
      <c r="H100" s="3">
        <v>51.807217899999998</v>
      </c>
      <c r="I100" s="4" t="str">
        <f t="shared" si="0"/>
        <v>Россия, Нижнекамск, Сююмбике 64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1">
        <v>100</v>
      </c>
      <c r="B101" s="14" t="s">
        <v>34</v>
      </c>
      <c r="C101" s="9">
        <v>66</v>
      </c>
      <c r="D101" s="9">
        <v>4</v>
      </c>
      <c r="E101" s="9">
        <v>5</v>
      </c>
      <c r="F101" s="11">
        <v>40</v>
      </c>
      <c r="G101" s="3">
        <v>55.652320500000002</v>
      </c>
      <c r="H101" s="3">
        <v>51.808299400000003</v>
      </c>
      <c r="I101" s="4" t="str">
        <f t="shared" si="0"/>
        <v>Россия, Нижнекамск, Сююмбике 66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1">
        <v>101</v>
      </c>
      <c r="B102" s="14" t="s">
        <v>34</v>
      </c>
      <c r="C102" s="9">
        <v>68</v>
      </c>
      <c r="D102" s="9">
        <v>4</v>
      </c>
      <c r="E102" s="9">
        <v>5</v>
      </c>
      <c r="F102" s="11">
        <v>40</v>
      </c>
      <c r="G102" s="3">
        <v>55.652676599999999</v>
      </c>
      <c r="H102" s="3">
        <v>51.807763100000003</v>
      </c>
      <c r="I102" s="4" t="str">
        <f t="shared" si="0"/>
        <v>Россия, Нижнекамск, Сююмбике 68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1">
        <v>102</v>
      </c>
      <c r="B103" s="14" t="s">
        <v>34</v>
      </c>
      <c r="C103" s="9">
        <v>72</v>
      </c>
      <c r="D103" s="9">
        <v>12</v>
      </c>
      <c r="E103" s="9">
        <v>9</v>
      </c>
      <c r="F103" s="11">
        <v>392</v>
      </c>
      <c r="G103" s="3">
        <v>55.6544442</v>
      </c>
      <c r="H103" s="3">
        <v>51.808163800000003</v>
      </c>
      <c r="I103" s="4" t="str">
        <f t="shared" si="0"/>
        <v>Россия, Нижнекамск, Сююмбике 72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1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1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1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1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1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1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1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1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1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1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1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1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1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1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1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1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1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1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1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1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1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1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1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1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1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1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1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1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1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1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1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1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1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1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1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1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1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1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1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1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1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1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1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1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1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1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1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1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1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1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1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1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1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1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1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1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1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1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1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1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1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1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1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1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1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1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1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1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1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1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1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1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1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1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1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1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1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1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1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1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1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1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1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1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1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1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1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1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1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1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1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1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1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1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1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1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1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1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1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1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1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1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1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1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1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1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1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1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1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1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1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1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1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1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1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1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1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1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1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1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1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1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1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1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1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1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1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1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1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1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1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1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1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1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1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1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1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1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1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1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1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1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1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1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1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1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1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1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1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1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1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1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1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1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1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1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1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1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1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1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1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1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1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1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1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1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1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1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15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15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15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1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1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15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15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15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15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15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15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15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15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15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15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15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15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15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15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15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15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15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15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15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15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15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15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15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15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15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15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15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15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15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15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1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15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15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15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15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15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15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15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15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15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15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15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15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15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15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15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15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15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15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15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15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15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15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15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15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15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15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15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15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15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15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15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15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15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15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15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15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15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15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15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15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15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15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15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15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15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15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15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15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15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15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15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15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15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15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15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15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15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15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15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15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15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15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15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15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15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15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15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15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15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15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15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15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15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15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15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15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15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15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15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15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15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15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15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15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15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15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15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15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15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15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15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15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15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15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15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15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15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15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15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15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15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15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15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15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15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15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15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15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15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15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15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15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15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15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15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15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15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15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15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15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15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15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15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15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15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15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15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15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15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15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15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15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15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15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15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15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15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15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15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15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15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15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15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15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15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15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15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15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15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15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15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15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15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15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15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15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15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15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15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15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15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15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15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15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15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15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15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15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15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15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15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15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15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15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15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15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15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15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15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15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15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15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15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15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15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15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15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15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15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15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15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15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15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15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15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15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15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15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15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15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15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15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15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15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15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15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15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15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15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15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15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15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15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15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15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15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15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15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15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15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15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15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15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15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15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15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15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15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15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15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15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15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15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15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15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15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15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15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15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15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15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15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15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15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15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1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15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15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15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15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15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15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15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15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15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15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15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15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15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15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15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15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15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15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15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15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15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15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15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15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15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15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15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15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15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15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15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15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15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15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15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15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15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15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15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15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15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15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15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15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15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15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15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15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15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15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15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15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15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15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15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15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15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15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15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15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15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15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15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15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15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15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15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15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15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15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15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15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15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15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15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15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15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15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15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15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15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15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15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15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15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15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15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15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15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15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15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15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15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15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15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15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15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15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15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15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15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15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15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15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15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15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15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15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15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15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15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15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15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15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15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15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15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15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15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15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15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15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15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15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15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15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15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15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15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15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15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15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15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15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15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15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15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15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15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15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15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15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15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15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15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15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15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15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15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15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15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15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15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15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15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15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15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15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15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15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15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15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15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15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15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15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15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15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15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15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15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15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15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15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15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15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15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15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15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15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15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15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15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15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15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15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15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15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15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15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15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15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15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15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15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15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15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15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15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15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15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15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15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15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15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15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15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15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15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15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15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15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15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15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15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15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15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15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15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15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15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15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15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15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15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15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15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15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15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15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15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15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15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15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15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15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15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15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15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15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15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15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15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15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15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15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15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15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15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15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15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15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15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15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15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15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15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15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15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15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15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15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15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15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15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15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15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15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15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15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15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15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15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15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15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15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15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15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15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15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15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15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15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15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15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15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15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15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15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15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15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15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15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15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15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15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15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15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15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15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15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15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15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15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15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15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15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15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15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15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15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15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15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15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15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15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15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15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15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15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15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15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15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15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15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15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15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15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15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15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15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15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15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15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15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15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15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15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15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15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15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15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15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15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15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15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15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15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15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15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15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15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15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15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15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15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15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15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15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15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15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15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15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15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15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15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15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15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15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15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15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15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15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15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15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15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15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15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15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15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15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15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15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15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15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15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15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15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15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15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15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15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15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15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15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15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15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15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15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15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15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15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15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15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15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15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15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15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15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15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15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15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15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15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15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15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15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15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15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15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15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15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15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15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15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15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15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15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15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15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15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15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15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15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15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15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15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15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15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15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15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15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15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15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15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15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15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C2" sqref="C2"/>
    </sheetView>
  </sheetViews>
  <sheetFormatPr defaultRowHeight="14.25"/>
  <cols>
    <col min="1" max="1" width="12" customWidth="1"/>
    <col min="2" max="2" width="22" customWidth="1"/>
    <col min="3" max="4" width="14" customWidth="1"/>
    <col min="5" max="5" width="34" customWidth="1"/>
  </cols>
  <sheetData>
    <row r="1" spans="1:5" ht="15">
      <c r="A1" s="17" t="s">
        <v>35</v>
      </c>
      <c r="B1" s="17" t="s">
        <v>8</v>
      </c>
      <c r="C1" s="17" t="s">
        <v>6</v>
      </c>
      <c r="D1" s="17" t="s">
        <v>7</v>
      </c>
      <c r="E1" s="17" t="s">
        <v>36</v>
      </c>
    </row>
    <row r="2" spans="1:5">
      <c r="A2">
        <v>48</v>
      </c>
      <c r="B2" t="s">
        <v>37</v>
      </c>
      <c r="C2">
        <v>55.656787999999999</v>
      </c>
      <c r="D2">
        <v>51.845826000000002</v>
      </c>
      <c r="E2" t="s">
        <v>38</v>
      </c>
    </row>
    <row r="3" spans="1:5">
      <c r="A3">
        <v>49</v>
      </c>
      <c r="B3" t="s">
        <v>39</v>
      </c>
      <c r="C3">
        <v>55.640233000000002</v>
      </c>
      <c r="D3">
        <v>51.836852</v>
      </c>
      <c r="E3" t="s">
        <v>38</v>
      </c>
    </row>
    <row r="4" spans="1:5">
      <c r="A4">
        <v>50</v>
      </c>
      <c r="B4" t="s">
        <v>40</v>
      </c>
      <c r="C4">
        <v>55.641620000000003</v>
      </c>
      <c r="D4">
        <v>51.837966000000002</v>
      </c>
      <c r="E4" t="s">
        <v>38</v>
      </c>
    </row>
    <row r="5" spans="1:5">
      <c r="A5">
        <v>51</v>
      </c>
      <c r="B5" t="s">
        <v>41</v>
      </c>
      <c r="C5">
        <v>55.643560999999998</v>
      </c>
      <c r="D5">
        <v>51.839871000000002</v>
      </c>
      <c r="E5" t="s">
        <v>38</v>
      </c>
    </row>
    <row r="6" spans="1:5">
      <c r="A6">
        <v>52</v>
      </c>
      <c r="B6" t="s">
        <v>42</v>
      </c>
      <c r="C6">
        <v>55.639156</v>
      </c>
      <c r="D6">
        <v>51.840212000000001</v>
      </c>
      <c r="E6" t="s">
        <v>38</v>
      </c>
    </row>
    <row r="7" spans="1:5">
      <c r="A7">
        <v>59</v>
      </c>
      <c r="B7" t="s">
        <v>43</v>
      </c>
      <c r="C7">
        <v>55.64696</v>
      </c>
      <c r="D7">
        <v>51.845861999999997</v>
      </c>
      <c r="E7" t="s">
        <v>38</v>
      </c>
    </row>
    <row r="8" spans="1:5">
      <c r="A8">
        <v>60</v>
      </c>
      <c r="B8" t="s">
        <v>44</v>
      </c>
      <c r="C8">
        <v>55.647590000000001</v>
      </c>
      <c r="D8">
        <v>51.845852999999998</v>
      </c>
      <c r="E8" t="s">
        <v>38</v>
      </c>
    </row>
    <row r="9" spans="1:5">
      <c r="A9">
        <v>61</v>
      </c>
      <c r="B9" t="s">
        <v>45</v>
      </c>
      <c r="C9">
        <v>55.647097000000002</v>
      </c>
      <c r="D9">
        <v>51.847209999999997</v>
      </c>
      <c r="E9" t="s">
        <v>38</v>
      </c>
    </row>
    <row r="10" spans="1:5">
      <c r="A10">
        <v>62</v>
      </c>
      <c r="B10" t="s">
        <v>46</v>
      </c>
      <c r="C10">
        <v>55.651947999999997</v>
      </c>
      <c r="D10">
        <v>51.818337999999997</v>
      </c>
      <c r="E10" t="s">
        <v>38</v>
      </c>
    </row>
    <row r="11" spans="1:5">
      <c r="A11">
        <v>63</v>
      </c>
      <c r="B11" t="s">
        <v>47</v>
      </c>
      <c r="C11">
        <v>55.652191999999999</v>
      </c>
      <c r="D11">
        <v>51.816406999999998</v>
      </c>
      <c r="E11" t="s">
        <v>38</v>
      </c>
    </row>
    <row r="12" spans="1:5">
      <c r="A12">
        <v>64</v>
      </c>
      <c r="B12" t="s">
        <v>48</v>
      </c>
      <c r="C12">
        <v>55.650708999999999</v>
      </c>
      <c r="D12">
        <v>51.817646000000003</v>
      </c>
      <c r="E12" t="s">
        <v>38</v>
      </c>
    </row>
    <row r="13" spans="1:5">
      <c r="A13">
        <v>65</v>
      </c>
      <c r="B13" t="s">
        <v>49</v>
      </c>
      <c r="C13">
        <v>55.650545999999999</v>
      </c>
      <c r="D13">
        <v>51.814807999999999</v>
      </c>
      <c r="E13" t="s">
        <v>38</v>
      </c>
    </row>
    <row r="14" spans="1:5">
      <c r="A14">
        <v>75</v>
      </c>
      <c r="B14" t="s">
        <v>50</v>
      </c>
      <c r="C14">
        <v>55.653405999999997</v>
      </c>
      <c r="D14">
        <v>51.815634000000003</v>
      </c>
      <c r="E14" t="s">
        <v>38</v>
      </c>
    </row>
    <row r="15" spans="1:5">
      <c r="A15">
        <v>76</v>
      </c>
      <c r="B15" t="s">
        <v>51</v>
      </c>
      <c r="C15">
        <v>55.653334999999998</v>
      </c>
      <c r="D15">
        <v>51.814250999999999</v>
      </c>
      <c r="E1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Исправления координат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Альфия</dc:creator>
  <cp:lastModifiedBy>Альфия ,</cp:lastModifiedBy>
  <dcterms:created xsi:type="dcterms:W3CDTF">2026-04-24T11:35:03Z</dcterms:created>
  <dcterms:modified xsi:type="dcterms:W3CDTF">2026-04-24T11:35:03Z</dcterms:modified>
</cp:coreProperties>
</file>